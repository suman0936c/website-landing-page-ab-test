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ountry" sheetId="3" state="visible" r:id="rId5"/>
    <sheet name="Daily" sheetId="4" state="visible" r:id="rId6"/>
    <sheet name="DataQual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<sst xmlns="http://schemas.openxmlformats.org/spreadsheetml/2006/main" count="97" uniqueCount="91">
  <si>
    <t xml:space="preserve">Website Landing Page A/B Test — Analysis Workbook</t>
  </si>
  <si>
    <t xml:space="preserve">Companion workbook to analyze.py / notebook.ipynb. All figures below are recomputed from the pipeline's own outputs, not retyped by hand — the blue cells are the only hardcoded inputs (raw counts from outputs/ab_test_summary.csv and outputs/country_results.csv), everything else is a formula.</t>
  </si>
  <si>
    <t xml:space="preserve">How to use this workbook</t>
  </si>
  <si>
    <t xml:space="preserve">  • Summary — headline control vs. treatment z-test, with the formulas visible so you can audit the math.</t>
  </si>
  <si>
    <t xml:space="preserve">  • Country — same test split by country (exploratory, not the pre-registered test).</t>
  </si>
  <si>
    <t xml:space="preserve">  • Daily — day-by-day conversion rate with a chart, to eyeball stability over the 22-day run.</t>
  </si>
  <si>
    <t xml:space="preserve">  • DataQuality — row counts through each cleaning step.</t>
  </si>
  <si>
    <t xml:space="preserve">Source of truth</t>
  </si>
  <si>
    <t xml:space="preserve">  The full row-level analysis lives in analyze.py and notebook.ipynb, which read the raw</t>
  </si>
  <si>
    <t xml:space="preserve">  ab_data.csv and countries.csv (290,584 users after cleaning) and write the summary CSVs</t>
  </si>
  <si>
    <t xml:space="preserve">  this workbook is built from. This workbook does not re-touch the raw data — it's a</t>
  </si>
  <si>
    <t xml:space="preserve">  presentation layer over numbers already validated in Python and cross-checked in SQL.</t>
  </si>
  <si>
    <t xml:space="preserve">Color legend</t>
  </si>
  <si>
    <t xml:space="preserve">  Blue text = hardcoded input (sourced from an output CSV, cited in an adjacent cell)</t>
  </si>
  <si>
    <t xml:space="preserve">  Black text = formula</t>
  </si>
  <si>
    <t xml:space="preserve">Headline Two-Proportion Z-Test — Control (old page) vs. Treatment (new page)</t>
  </si>
  <si>
    <t xml:space="preserve">Group</t>
  </si>
  <si>
    <t xml:space="preserve">Users</t>
  </si>
  <si>
    <t xml:space="preserve">Conversions</t>
  </si>
  <si>
    <t xml:space="preserve">Conversion Rate</t>
  </si>
  <si>
    <t xml:space="preserve">Std. Error (rate)</t>
  </si>
  <si>
    <t xml:space="preserve">Control</t>
  </si>
  <si>
    <t xml:space="preserve">Treatment</t>
  </si>
  <si>
    <t xml:space="preserve">Source: outputs/ab_test_summary.csv (users, conversions columns). Rate and SE are formulas.</t>
  </si>
  <si>
    <t xml:space="preserve">Test statistics</t>
  </si>
  <si>
    <t xml:space="preserve">Difference (Treatment − Control), pp</t>
  </si>
  <si>
    <t xml:space="preserve">Relative change vs. control</t>
  </si>
  <si>
    <t xml:space="preserve">Pooled proportion</t>
  </si>
  <si>
    <t xml:space="preserve">Pooled SE (for z-test)</t>
  </si>
  <si>
    <t xml:space="preserve">z statistic</t>
  </si>
  <si>
    <t xml:space="preserve">p-value (two-tailed)</t>
  </si>
  <si>
    <t xml:space="preserve">Unpooled SE (for 95% CI)</t>
  </si>
  <si>
    <t xml:space="preserve">95% CI lower, pp</t>
  </si>
  <si>
    <t xml:space="preserve">95% CI upper, pp</t>
  </si>
  <si>
    <t xml:space="preserve">Decision</t>
  </si>
  <si>
    <t xml:space="preserve">Do not ship from this evidence alone: p-value is well above 0.05 and the 95% CI spans both a small loss and a small gain.</t>
  </si>
  <si>
    <t xml:space="preserve">Business translation (illustrative)</t>
  </si>
  <si>
    <t xml:space="preserve">Assumed monthly traffic</t>
  </si>
  <si>
    <t xml:space="preserve">Estimated monthly incremental conversions</t>
  </si>
  <si>
    <t xml:space="preserve">(negative = fewer conversions with the new page, at the point estimate)</t>
  </si>
  <si>
    <t xml:space="preserve">Conversion by Country (exploratory — not the pre-registered test)</t>
  </si>
  <si>
    <t xml:space="preserve">Country</t>
  </si>
  <si>
    <t xml:space="preserve">Control Users</t>
  </si>
  <si>
    <t xml:space="preserve">Control Conversions</t>
  </si>
  <si>
    <t xml:space="preserve">Control Rate</t>
  </si>
  <si>
    <t xml:space="preserve">Treatment Users</t>
  </si>
  <si>
    <t xml:space="preserve">Treatment Conversions</t>
  </si>
  <si>
    <t xml:space="preserve">Treatment Rate</t>
  </si>
  <si>
    <t xml:space="preserve">Diff (pp)</t>
  </si>
  <si>
    <t xml:space="preserve">CA</t>
  </si>
  <si>
    <t xml:space="preserve">UK</t>
  </si>
  <si>
    <t xml:space="preserve">US</t>
  </si>
  <si>
    <t xml:space="preserve">Source: outputs/country_results.csv (user counts and rates). Conversions and the pp difference are formulas.</t>
  </si>
  <si>
    <t xml:space="preserve">Note: with 3 simultaneous comparisons, apply a multiple-comparison correction (e.g. Bonferroni α=0.0167) before treating any single country result as conclusive.</t>
  </si>
  <si>
    <t xml:space="preserve">Daily Conversion Rate by Group</t>
  </si>
  <si>
    <t xml:space="preserve">Date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</si>
  <si>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</si>
  <si>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</si>
  <si>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</si>
  <si>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</si>
  <si>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</si>
  <si>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</si>
  <si>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</si>
  <si>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</si>
  <si>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</si>
  <si>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</si>
  <si>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</si>
  <si>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</si>
  <si>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2017-01-14</t>
  </si>
  <si>
    <t xml:space="preserve">2017-01-15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</si>
  <si>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</si>
  <si>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</si>
  <si>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</si>
  <si>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</si>
  <si>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</si>
  <si>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2017-01-21</t>
  </si>
  <si>
    <t xml:space="preserve">2017-01-22</t>
  </si>
  <si>
    <t xml:space="preserve">2017-01-23</t>
  </si>
  <si>
    <t xml:space="preserve">2017-01-24</t>
  </si>
  <si>
    <t xml:space="preserve">Source: outputs/daily_conversion.csv (one row per user, aggregated by day in analyze.py).</t>
  </si>
  <si>
    <t xml:space="preserve">Cleaning Reconciliation</t>
  </si>
  <si>
    <t xml:space="preserve">Raw rows (ab_data.csv)</t>
  </si>
  <si>
    <t xml:space="preserve">Mismatched group/page rows removed</t>
  </si>
  <si>
    <t xml:space="preserve">Rows remaining after mismatch removal</t>
  </si>
  <si>
    <t xml:space="preserve">Duplicate-user rows removed (keep first exposure)</t>
  </si>
  <si>
    <t xml:space="preserve">Clean rows (ab_clean.csv)</t>
  </si>
  <si>
    <t xml:space="preserve">Duplicate user IDs in clean table</t>
  </si>
  <si>
    <t xml:space="preserve">Test start date</t>
  </si>
  <si>
    <t xml:space="preserve">Test end date</t>
  </si>
  <si>
    <t xml:space="preserve">Test duration (days)</t>
  </si>
  <si>
    <t xml:space="preserve">Source: outputs/data_quality_audit.csv. Blue = reported directly by the pipeline; black = formula check.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</si>
</sst>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%"/>
    <numFmt numFmtId="166" formatCode="0.0000%"/>
    <numFmt numFmtId="167" formatCode="0.000"/>
    <numFmt numFmtId="168" formatCode="0.00%"/>
    <numFmt numFmtId="169" formatCode="0.0000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Conversion Rate — Control vs. Treatment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Daily!B3</c:f>
              <c:strCache>
                <c:ptCount val="1"/>
                <c:pt idx="0">
                  <c:v>Control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Daily!$A$4:$A$26</c:f>
              <c:strCache>
                <c:ptCount val="23"/>
                <c:pt idx="0">
                  <c:v>2017-01-02</c:v>
                </c:pt>
                <c:pt idx="1">
                  <c:v>2017-01-03</c:v>
                </c:pt>
                <c:pt idx="2">
                  <c:v>2017-01-04</c:v>
                </c:pt>
                <c:pt idx="3">
                  <c:v>2017-01-05</c:v>
                </c:pt>
                <c:pt idx="4">
                  <c:v>2017-01-06</c:v>
                </c:pt>
                <c:pt idx="5">
                  <c:v>2017-01-07</c:v>
                </c:pt>
                <c:pt idx="6">
                  <c:v>2017-01-08</c:v>
                </c:pt>
                <c:pt idx="7">
                  <c:v>2017-01-09</c:v>
                </c:pt>
                <c:pt idx="8">
                  <c:v>2017-01-10</c:v>
                </c:pt>
                <c:pt idx="9">
                  <c:v>2017-01-11</c:v>
                </c:pt>
                <c:pt idx="10">
                  <c:v>2017-01-12</c:v>
                </c:pt>
                <c:pt idx="11">
                  <c:v>2017-01-13</c:v>
                </c:pt>
                <c:pt idx="12">
                  <c:v>2017-01-14</c:v>
                </c:pt>
                <c:pt idx="13">
                  <c:v>2017-01-15</c:v>
                </c:pt>
                <c:pt idx="14">
                  <c:v>2017-01-16</c:v>
                </c:pt>
                <c:pt idx="15">
                  <c:v>2017-01-17</c:v>
                </c:pt>
                <c:pt idx="16">
                  <c:v>2017-01-18</c:v>
                </c:pt>
                <c:pt idx="17">
                  <c:v>2017-01-19</c:v>
                </c:pt>
                <c:pt idx="18">
                  <c:v>2017-01-20</c:v>
                </c:pt>
                <c:pt idx="19">
                  <c:v>2017-01-21</c:v>
                </c:pt>
                <c:pt idx="20">
                  <c:v>2017-01-22</c:v>
                </c:pt>
                <c:pt idx="21">
                  <c:v>2017-01-23</c:v>
                </c:pt>
                <c:pt idx="22">
                  <c:v>2017-01-24</c:v>
                </c:pt>
              </c:strCache>
            </c:strRef>
          </c:cat>
          <c:val>
            <c:numRef>
              <c:f>Daily!$B$4:$B$26</c:f>
              <c:numCache>
                <c:formatCode>0.00%</c:formatCode>
                <c:ptCount val="23"/>
                <c:pt idx="0">
                  <c:v>0.125568380552641</c:v>
                </c:pt>
                <c:pt idx="1">
                  <c:v>0.113808801213961</c:v>
                </c:pt>
                <c:pt idx="2">
                  <c:v>0.121921556704165</c:v>
                </c:pt>
                <c:pt idx="3">
                  <c:v>0.123230122918936</c:v>
                </c:pt>
                <c:pt idx="4">
                  <c:v>0.115349682107175</c:v>
                </c:pt>
                <c:pt idx="5">
                  <c:v>0.120987280436099</c:v>
                </c:pt>
                <c:pt idx="6">
                  <c:v>0.118887393449978</c:v>
                </c:pt>
                <c:pt idx="7">
                  <c:v>0.119643934821967</c:v>
                </c:pt>
                <c:pt idx="8">
                  <c:v>0.112864442440637</c:v>
                </c:pt>
                <c:pt idx="9">
                  <c:v>0.11886961722488</c:v>
                </c:pt>
                <c:pt idx="10">
                  <c:v>0.122048451395278</c:v>
                </c:pt>
                <c:pt idx="11">
                  <c:v>0.116910866910867</c:v>
                </c:pt>
                <c:pt idx="12">
                  <c:v>0.126756261453879</c:v>
                </c:pt>
                <c:pt idx="13">
                  <c:v>0.120494489127197</c:v>
                </c:pt>
                <c:pt idx="14">
                  <c:v>0.121832802306175</c:v>
                </c:pt>
                <c:pt idx="15">
                  <c:v>0.122865346833913</c:v>
                </c:pt>
                <c:pt idx="16">
                  <c:v>0.12480715828448</c:v>
                </c:pt>
                <c:pt idx="17">
                  <c:v>0.119945272119185</c:v>
                </c:pt>
                <c:pt idx="18">
                  <c:v>0.11524334251607</c:v>
                </c:pt>
                <c:pt idx="19">
                  <c:v>0.125944584382872</c:v>
                </c:pt>
                <c:pt idx="20">
                  <c:v>0.119163129169194</c:v>
                </c:pt>
                <c:pt idx="21">
                  <c:v>0.125670041691483</c:v>
                </c:pt>
                <c:pt idx="22">
                  <c:v>0.118007458710709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Daily!C3</c:f>
              <c:strCache>
                <c:ptCount val="1"/>
                <c:pt idx="0">
                  <c:v>Treatment Rate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Daily!$A$4:$A$26</c:f>
              <c:strCache>
                <c:ptCount val="23"/>
                <c:pt idx="0">
                  <c:v>2017-01-02</c:v>
                </c:pt>
                <c:pt idx="1">
                  <c:v>2017-01-03</c:v>
                </c:pt>
                <c:pt idx="2">
                  <c:v>2017-01-04</c:v>
                </c:pt>
                <c:pt idx="3">
                  <c:v>2017-01-05</c:v>
                </c:pt>
                <c:pt idx="4">
                  <c:v>2017-01-06</c:v>
                </c:pt>
                <c:pt idx="5">
                  <c:v>2017-01-07</c:v>
                </c:pt>
                <c:pt idx="6">
                  <c:v>2017-01-08</c:v>
                </c:pt>
                <c:pt idx="7">
                  <c:v>2017-01-09</c:v>
                </c:pt>
                <c:pt idx="8">
                  <c:v>2017-01-10</c:v>
                </c:pt>
                <c:pt idx="9">
                  <c:v>2017-01-11</c:v>
                </c:pt>
                <c:pt idx="10">
                  <c:v>2017-01-12</c:v>
                </c:pt>
                <c:pt idx="11">
                  <c:v>2017-01-13</c:v>
                </c:pt>
                <c:pt idx="12">
                  <c:v>2017-01-14</c:v>
                </c:pt>
                <c:pt idx="13">
                  <c:v>2017-01-15</c:v>
                </c:pt>
                <c:pt idx="14">
                  <c:v>2017-01-16</c:v>
                </c:pt>
                <c:pt idx="15">
                  <c:v>2017-01-17</c:v>
                </c:pt>
                <c:pt idx="16">
                  <c:v>2017-01-18</c:v>
                </c:pt>
                <c:pt idx="17">
                  <c:v>2017-01-19</c:v>
                </c:pt>
                <c:pt idx="18">
                  <c:v>2017-01-20</c:v>
                </c:pt>
                <c:pt idx="19">
                  <c:v>2017-01-21</c:v>
                </c:pt>
                <c:pt idx="20">
                  <c:v>2017-01-22</c:v>
                </c:pt>
                <c:pt idx="21">
                  <c:v>2017-01-23</c:v>
                </c:pt>
                <c:pt idx="22">
                  <c:v>2017-01-24</c:v>
                </c:pt>
              </c:strCache>
            </c:strRef>
          </c:cat>
          <c:val>
            <c:numRef>
              <c:f>Daily!$C$4:$C$26</c:f>
              <c:numCache>
                <c:formatCode>0.00%</c:formatCode>
                <c:ptCount val="23"/>
                <c:pt idx="0">
                  <c:v>0.1198738170347</c:v>
                </c:pt>
                <c:pt idx="1">
                  <c:v>0.113780598368087</c:v>
                </c:pt>
                <c:pt idx="2">
                  <c:v>0.116648830454059</c:v>
                </c:pt>
                <c:pt idx="3">
                  <c:v>0.114988470407379</c:v>
                </c:pt>
                <c:pt idx="4">
                  <c:v>0.123462279531644</c:v>
                </c:pt>
                <c:pt idx="5">
                  <c:v>0.116205174761689</c:v>
                </c:pt>
                <c:pt idx="6">
                  <c:v>0.120746268656716</c:v>
                </c:pt>
                <c:pt idx="7">
                  <c:v>0.11806500377929</c:v>
                </c:pt>
                <c:pt idx="8">
                  <c:v>0.126344086021505</c:v>
                </c:pt>
                <c:pt idx="9">
                  <c:v>0.115090663869324</c:v>
                </c:pt>
                <c:pt idx="10">
                  <c:v>0.122344432725629</c:v>
                </c:pt>
                <c:pt idx="11">
                  <c:v>0.111247695144438</c:v>
                </c:pt>
                <c:pt idx="12">
                  <c:v>0.119260494014245</c:v>
                </c:pt>
                <c:pt idx="13">
                  <c:v>0.113452435486334</c:v>
                </c:pt>
                <c:pt idx="14">
                  <c:v>0.119174942704355</c:v>
                </c:pt>
                <c:pt idx="15">
                  <c:v>0.127256041602937</c:v>
                </c:pt>
                <c:pt idx="16">
                  <c:v>0.124791761320612</c:v>
                </c:pt>
                <c:pt idx="17">
                  <c:v>0.117216117216117</c:v>
                </c:pt>
                <c:pt idx="18">
                  <c:v>0.11768228776763</c:v>
                </c:pt>
                <c:pt idx="19">
                  <c:v>0.115701219512195</c:v>
                </c:pt>
                <c:pt idx="20">
                  <c:v>0.118008696956065</c:v>
                </c:pt>
                <c:pt idx="21">
                  <c:v>0.12106135986733</c:v>
                </c:pt>
                <c:pt idx="22">
                  <c:v>0.121706058136376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955249"/>
        <c:axId val="35435462"/>
      </c:lineChart>
      <c:catAx>
        <c:axId val="469552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35462"/>
        <c:crosses val="autoZero"/>
        <c:auto val="1"/>
        <c:lblAlgn val="ctr"/>
        <c:lblOffset val="100"/>
        <c:noMultiLvlLbl val="0"/>
      </c:catAx>
      <c:valAx>
        <c:axId val="35435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55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18</xdr:col>
      <xdr:colOff>581400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5404320" y="380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5" t="s">
        <v>15</v>
      </c>
      <c r="B1" s="5"/>
      <c r="C1" s="5"/>
      <c r="D1" s="5"/>
      <c r="E1" s="5"/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customFormat="false" ht="15" hidden="false" customHeight="false" outlineLevel="0" collapsed="false">
      <c r="A4" s="7" t="s">
        <v>21</v>
      </c>
      <c r="B4" s="8" t="n">
        <v>145274</v>
      </c>
      <c r="C4" s="8" t="n">
        <v>17489</v>
      </c>
      <c r="D4" s="9" t="n">
        <f aca="false">C4/B4</f>
        <v>0.120386304500461</v>
      </c>
      <c r="E4" s="10" t="n">
        <f aca="false">SQRT(D4*(1-D4)/B4)</f>
        <v>0.000853769400786081</v>
      </c>
    </row>
    <row r="5" customFormat="false" ht="15" hidden="false" customHeight="false" outlineLevel="0" collapsed="false">
      <c r="A5" s="7" t="s">
        <v>22</v>
      </c>
      <c r="B5" s="8" t="n">
        <v>145310</v>
      </c>
      <c r="C5" s="8" t="n">
        <v>17264</v>
      </c>
      <c r="D5" s="9" t="n">
        <f aca="false">C5/B5</f>
        <v>0.118808065515106</v>
      </c>
      <c r="E5" s="10" t="n">
        <f aca="false">SQRT(D5*(1-D5)/B5)</f>
        <v>0.000848809961246221</v>
      </c>
    </row>
    <row r="6" customFormat="false" ht="15" hidden="false" customHeight="false" outlineLevel="0" collapsed="false">
      <c r="A6" s="11" t="s">
        <v>23</v>
      </c>
    </row>
    <row r="9" customFormat="false" ht="15" hidden="false" customHeight="false" outlineLevel="0" collapsed="false">
      <c r="A9" s="4" t="s">
        <v>24</v>
      </c>
    </row>
    <row r="10" customFormat="false" ht="15" hidden="false" customHeight="false" outlineLevel="0" collapsed="false">
      <c r="A10" s="12" t="s">
        <v>25</v>
      </c>
      <c r="B10" s="13" t="n">
        <f aca="false">(D5-D4)*100</f>
        <v>-0.157823898535556</v>
      </c>
    </row>
    <row r="11" customFormat="false" ht="15" hidden="false" customHeight="false" outlineLevel="0" collapsed="false">
      <c r="A11" s="12" t="s">
        <v>26</v>
      </c>
      <c r="B11" s="14" t="n">
        <f aca="false">(D5-D4)/D4</f>
        <v>-0.0131097884589481</v>
      </c>
    </row>
    <row r="12" customFormat="false" ht="15" hidden="false" customHeight="false" outlineLevel="0" collapsed="false">
      <c r="A12" s="12" t="s">
        <v>27</v>
      </c>
      <c r="B12" s="15" t="n">
        <f aca="false">(C4+C5)/(B4+B5)</f>
        <v>0.119597087244996</v>
      </c>
    </row>
    <row r="13" customFormat="false" ht="15" hidden="false" customHeight="false" outlineLevel="0" collapsed="false">
      <c r="A13" s="12" t="s">
        <v>28</v>
      </c>
      <c r="B13" s="16" t="n">
        <f aca="false">SQRT(B12*(1-B12)*(1/B4+1/B5))</f>
        <v>0.00120391322950145</v>
      </c>
    </row>
    <row r="14" customFormat="false" ht="15" hidden="false" customHeight="false" outlineLevel="0" collapsed="false">
      <c r="A14" s="12" t="s">
        <v>29</v>
      </c>
      <c r="B14" s="17" t="n">
        <f aca="false">(D5-D4)/B13</f>
        <v>-1.31092419842344</v>
      </c>
    </row>
    <row r="15" customFormat="false" ht="15" hidden="false" customHeight="false" outlineLevel="0" collapsed="false">
      <c r="A15" s="12" t="s">
        <v>30</v>
      </c>
      <c r="B15" s="17" t="n">
        <f aca="false">2*(1-_xlfn.NORM.S.DIST(ABS(B14),TRUE()))</f>
        <v>0.189883374481951</v>
      </c>
    </row>
    <row r="16" customFormat="false" ht="15" hidden="false" customHeight="false" outlineLevel="0" collapsed="false">
      <c r="A16" s="12" t="s">
        <v>31</v>
      </c>
      <c r="B16" s="16" t="n">
        <f aca="false">SQRT(E4^2+E5^2)</f>
        <v>0.001203910519943</v>
      </c>
    </row>
    <row r="17" customFormat="false" ht="15" hidden="false" customHeight="false" outlineLevel="0" collapsed="false">
      <c r="A17" s="12" t="s">
        <v>32</v>
      </c>
      <c r="B17" s="13" t="n">
        <f aca="false">((D5-D4)-1.96*B16)*100</f>
        <v>-0.393790360444385</v>
      </c>
    </row>
    <row r="18" customFormat="false" ht="15" hidden="false" customHeight="false" outlineLevel="0" collapsed="false">
      <c r="A18" s="12" t="s">
        <v>33</v>
      </c>
      <c r="B18" s="13" t="n">
        <f aca="false">((D5-D4)+1.96*B16)*100</f>
        <v>0.0781425633732732</v>
      </c>
    </row>
    <row r="19" customFormat="false" ht="15" hidden="false" customHeight="false" outlineLevel="0" collapsed="false">
      <c r="A19" s="4" t="s">
        <v>34</v>
      </c>
    </row>
    <row r="20" customFormat="false" ht="30" hidden="false" customHeight="true" outlineLevel="0" collapsed="false">
      <c r="A20" s="18" t="s">
        <v>35</v>
      </c>
      <c r="B20" s="18"/>
      <c r="C20" s="18"/>
      <c r="D20" s="18"/>
      <c r="E20" s="18"/>
    </row>
    <row r="22" customFormat="false" ht="15" hidden="false" customHeight="false" outlineLevel="0" collapsed="false">
      <c r="A22" s="4" t="s">
        <v>36</v>
      </c>
    </row>
    <row r="23" customFormat="false" ht="15" hidden="false" customHeight="false" outlineLevel="0" collapsed="false">
      <c r="A23" s="0" t="s">
        <v>37</v>
      </c>
      <c r="B23" s="19" t="n">
        <v>100000</v>
      </c>
    </row>
    <row r="24" customFormat="false" ht="15" hidden="false" customHeight="false" outlineLevel="0" collapsed="false">
      <c r="A24" s="0" t="s">
        <v>38</v>
      </c>
      <c r="B24" s="20" t="n">
        <f aca="false">(D5-D4)*B23</f>
        <v>-157.823898535556</v>
      </c>
    </row>
    <row r="25" customFormat="false" ht="15" hidden="false" customHeight="false" outlineLevel="0" collapsed="false">
      <c r="A25" s="11" t="s">
        <v>39</v>
      </c>
    </row>
  </sheetData>
  <mergeCells count="2">
    <mergeCell ref="A1:E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40</v>
      </c>
      <c r="B1" s="5"/>
      <c r="C1" s="5"/>
      <c r="D1" s="5"/>
      <c r="E1" s="5"/>
      <c r="F1" s="5"/>
      <c r="G1" s="5"/>
      <c r="H1" s="5"/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customFormat="false" ht="15" hidden="false" customHeight="false" outlineLevel="0" collapsed="false">
      <c r="A4" s="7" t="s">
        <v>49</v>
      </c>
      <c r="B4" s="8" t="n">
        <v>7198</v>
      </c>
      <c r="C4" s="7" t="n">
        <f aca="false">ROUND(D4*B4,0)</f>
        <v>855</v>
      </c>
      <c r="D4" s="21" t="n">
        <v>0.118782995276466</v>
      </c>
      <c r="E4" s="8" t="n">
        <v>7301</v>
      </c>
      <c r="F4" s="7" t="n">
        <f aca="false">ROUND(G4*E4,0)</f>
        <v>817</v>
      </c>
      <c r="G4" s="21" t="n">
        <v>0.11190247911245</v>
      </c>
      <c r="H4" s="22" t="n">
        <f aca="false">(G4-D4)*100</f>
        <v>-0.688051616401531</v>
      </c>
    </row>
    <row r="5" customFormat="false" ht="15" hidden="false" customHeight="false" outlineLevel="0" collapsed="false">
      <c r="A5" s="7" t="s">
        <v>50</v>
      </c>
      <c r="B5" s="8" t="n">
        <v>36360</v>
      </c>
      <c r="C5" s="7" t="n">
        <f aca="false">ROUND(D5*B5,0)</f>
        <v>4364</v>
      </c>
      <c r="D5" s="21" t="n">
        <v>0.12002200220022</v>
      </c>
      <c r="E5" s="8" t="n">
        <v>36106</v>
      </c>
      <c r="F5" s="7" t="n">
        <f aca="false">ROUND(G5*E5,0)</f>
        <v>4375</v>
      </c>
      <c r="G5" s="21" t="n">
        <v>0.121170996510275</v>
      </c>
      <c r="H5" s="22" t="n">
        <f aca="false">(G5-D5)*100</f>
        <v>0.11489943100553</v>
      </c>
    </row>
    <row r="6" customFormat="false" ht="15" hidden="false" customHeight="false" outlineLevel="0" collapsed="false">
      <c r="A6" s="7" t="s">
        <v>51</v>
      </c>
      <c r="B6" s="8" t="n">
        <v>101716</v>
      </c>
      <c r="C6" s="7" t="n">
        <f aca="false">ROUND(D6*B6,0)</f>
        <v>12270</v>
      </c>
      <c r="D6" s="21" t="n">
        <v>0.120629989382201</v>
      </c>
      <c r="E6" s="8" t="n">
        <v>101903</v>
      </c>
      <c r="F6" s="7" t="n">
        <f aca="false">ROUND(G6*E6,0)</f>
        <v>12072</v>
      </c>
      <c r="G6" s="21" t="n">
        <v>0.118465599638872</v>
      </c>
      <c r="H6" s="22" t="n">
        <f aca="false">(G6-D6)*100</f>
        <v>-0.216438974332911</v>
      </c>
    </row>
    <row r="8" customFormat="false" ht="15" hidden="false" customHeight="false" outlineLevel="0" collapsed="false">
      <c r="A8" s="11" t="s">
        <v>52</v>
      </c>
    </row>
    <row r="9" customFormat="false" ht="280.55" hidden="false" customHeight="false" outlineLevel="0" collapsed="false">
      <c r="A9" s="2" t="s">
        <v>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5" t="s">
        <v>54</v>
      </c>
      <c r="B1" s="5"/>
      <c r="C1" s="5"/>
      <c r="D1" s="5"/>
    </row>
    <row r="3" customFormat="false" ht="15" hidden="false" customHeight="false" outlineLevel="0" collapsed="false">
      <c r="A3" s="6" t="s">
        <v>55</v>
      </c>
      <c r="B3" s="6" t="s">
        <v>44</v>
      </c>
      <c r="C3" s="6" t="s">
        <v>47</v>
      </c>
      <c r="D3" s="6" t="s">
        <v>42</v>
      </c>
      <c r="E3" s="6" t="s">
        <v>45</v>
      </c>
    </row>
    <row r="4" customFormat="false" ht="15" hidden="false" customHeight="false" outlineLevel="0" collapsed="false">
      <c r="A4" s="8" t="s">
        <v>56</v>
      </c>
      <c r="B4" s="23" t="n">
        <v>0.125568380552641</v>
      </c>
      <c r="C4" s="23" t="n">
        <v>0.1198738170347</v>
      </c>
      <c r="D4" s="8" t="n">
        <v>2859</v>
      </c>
      <c r="E4" s="8" t="n">
        <v>2853</v>
      </c>
    </row>
    <row r="5" customFormat="false" ht="15" hidden="false" customHeight="false" outlineLevel="0" collapsed="false">
      <c r="A5" s="8" t="s">
        <v>57</v>
      </c>
      <c r="B5" s="23" t="n">
        <v>0.113808801213961</v>
      </c>
      <c r="C5" s="23" t="n">
        <v>0.113780598368087</v>
      </c>
      <c r="D5" s="8" t="n">
        <v>6590</v>
      </c>
      <c r="E5" s="8" t="n">
        <v>6618</v>
      </c>
    </row>
    <row r="6" customFormat="false" ht="15" hidden="false" customHeight="false" outlineLevel="0" collapsed="false">
      <c r="A6" s="8" t="s">
        <v>58</v>
      </c>
      <c r="B6" s="23" t="n">
        <v>0.121921556704165</v>
      </c>
      <c r="C6" s="23" t="n">
        <v>0.116648830454059</v>
      </c>
      <c r="D6" s="8" t="n">
        <v>6578</v>
      </c>
      <c r="E6" s="8" t="n">
        <v>6541</v>
      </c>
    </row>
    <row r="7" customFormat="false" ht="15" hidden="false" customHeight="false" outlineLevel="0" collapsed="false">
      <c r="A7" s="8" t="s">
        <v>59</v>
      </c>
      <c r="B7" s="23" t="n">
        <v>0.123230122918936</v>
      </c>
      <c r="C7" s="23" t="n">
        <v>0.114988470407379</v>
      </c>
      <c r="D7" s="8" t="n">
        <v>6427</v>
      </c>
      <c r="E7" s="8" t="n">
        <v>6505</v>
      </c>
    </row>
    <row r="8" customFormat="false" ht="15" hidden="false" customHeight="false" outlineLevel="0" collapsed="false">
      <c r="A8" s="8" t="s">
        <v>60</v>
      </c>
      <c r="B8" s="23" t="n">
        <v>0.115349682107175</v>
      </c>
      <c r="C8" s="23" t="n">
        <v>0.123462279531644</v>
      </c>
      <c r="D8" s="8" t="n">
        <v>6606</v>
      </c>
      <c r="E8" s="8" t="n">
        <v>6747</v>
      </c>
    </row>
    <row r="9" customFormat="false" ht="15" hidden="false" customHeight="false" outlineLevel="0" collapsed="false">
      <c r="A9" s="8" t="s">
        <v>61</v>
      </c>
      <c r="B9" s="23" t="n">
        <v>0.120987280436099</v>
      </c>
      <c r="C9" s="23" t="n">
        <v>0.116205174761689</v>
      </c>
      <c r="D9" s="8" t="n">
        <v>6604</v>
      </c>
      <c r="E9" s="8" t="n">
        <v>6609</v>
      </c>
    </row>
    <row r="10" customFormat="false" ht="15" hidden="false" customHeight="false" outlineLevel="0" collapsed="false">
      <c r="A10" s="8" t="s">
        <v>62</v>
      </c>
      <c r="B10" s="23" t="n">
        <v>0.118887393449978</v>
      </c>
      <c r="C10" s="23" t="n">
        <v>0.120746268656716</v>
      </c>
      <c r="D10" s="8" t="n">
        <v>6687</v>
      </c>
      <c r="E10" s="8" t="n">
        <v>6700</v>
      </c>
    </row>
    <row r="11" customFormat="false" ht="15" hidden="false" customHeight="false" outlineLevel="0" collapsed="false">
      <c r="A11" s="8" t="s">
        <v>63</v>
      </c>
      <c r="B11" s="23" t="n">
        <v>0.119643934821967</v>
      </c>
      <c r="C11" s="23" t="n">
        <v>0.11806500377929</v>
      </c>
      <c r="D11" s="8" t="n">
        <v>6628</v>
      </c>
      <c r="E11" s="8" t="n">
        <v>6615</v>
      </c>
    </row>
    <row r="12" customFormat="false" ht="15" hidden="false" customHeight="false" outlineLevel="0" collapsed="false">
      <c r="A12" s="8" t="s">
        <v>64</v>
      </c>
      <c r="B12" s="23" t="n">
        <v>0.112864442440637</v>
      </c>
      <c r="C12" s="23" t="n">
        <v>0.126344086021505</v>
      </c>
      <c r="D12" s="8" t="n">
        <v>6654</v>
      </c>
      <c r="E12" s="8" t="n">
        <v>6696</v>
      </c>
    </row>
    <row r="13" customFormat="false" ht="15" hidden="false" customHeight="false" outlineLevel="0" collapsed="false">
      <c r="A13" s="8" t="s">
        <v>65</v>
      </c>
      <c r="B13" s="23" t="n">
        <v>0.11886961722488</v>
      </c>
      <c r="C13" s="23" t="n">
        <v>0.115090663869324</v>
      </c>
      <c r="D13" s="8" t="n">
        <v>6688</v>
      </c>
      <c r="E13" s="8" t="n">
        <v>6673</v>
      </c>
    </row>
    <row r="14" customFormat="false" ht="15" hidden="false" customHeight="false" outlineLevel="0" collapsed="false">
      <c r="A14" s="8" t="s">
        <v>66</v>
      </c>
      <c r="B14" s="23" t="n">
        <v>0.122048451395278</v>
      </c>
      <c r="C14" s="23" t="n">
        <v>0.122344432725629</v>
      </c>
      <c r="D14" s="8" t="n">
        <v>6522</v>
      </c>
      <c r="E14" s="8" t="n">
        <v>6637</v>
      </c>
    </row>
    <row r="15" customFormat="false" ht="15" hidden="false" customHeight="false" outlineLevel="0" collapsed="false">
      <c r="A15" s="8" t="s">
        <v>67</v>
      </c>
      <c r="B15" s="23" t="n">
        <v>0.116910866910867</v>
      </c>
      <c r="C15" s="23" t="n">
        <v>0.111247695144438</v>
      </c>
      <c r="D15" s="8" t="n">
        <v>6552</v>
      </c>
      <c r="E15" s="8" t="n">
        <v>6508</v>
      </c>
    </row>
    <row r="16" customFormat="false" ht="15" hidden="false" customHeight="false" outlineLevel="0" collapsed="false">
      <c r="A16" s="8" t="s">
        <v>68</v>
      </c>
      <c r="B16" s="23" t="n">
        <v>0.126756261453879</v>
      </c>
      <c r="C16" s="23" t="n">
        <v>0.119260494014245</v>
      </c>
      <c r="D16" s="8" t="n">
        <v>6548</v>
      </c>
      <c r="E16" s="8" t="n">
        <v>6599</v>
      </c>
    </row>
    <row r="17" customFormat="false" ht="15" hidden="false" customHeight="false" outlineLevel="0" collapsed="false">
      <c r="A17" s="8" t="s">
        <v>69</v>
      </c>
      <c r="B17" s="23" t="n">
        <v>0.120494489127197</v>
      </c>
      <c r="C17" s="23" t="n">
        <v>0.113452435486334</v>
      </c>
      <c r="D17" s="8" t="n">
        <v>6714</v>
      </c>
      <c r="E17" s="8" t="n">
        <v>6549</v>
      </c>
    </row>
    <row r="18" customFormat="false" ht="15" hidden="false" customHeight="false" outlineLevel="0" collapsed="false">
      <c r="A18" s="8" t="s">
        <v>70</v>
      </c>
      <c r="B18" s="23" t="n">
        <v>0.121832802306175</v>
      </c>
      <c r="C18" s="23" t="n">
        <v>0.119174942704355</v>
      </c>
      <c r="D18" s="8" t="n">
        <v>6591</v>
      </c>
      <c r="E18" s="8" t="n">
        <v>6545</v>
      </c>
    </row>
    <row r="19" customFormat="false" ht="15" hidden="false" customHeight="false" outlineLevel="0" collapsed="false">
      <c r="A19" s="8" t="s">
        <v>71</v>
      </c>
      <c r="B19" s="23" t="n">
        <v>0.122865346833913</v>
      </c>
      <c r="C19" s="23" t="n">
        <v>0.127256041602937</v>
      </c>
      <c r="D19" s="8" t="n">
        <v>6617</v>
      </c>
      <c r="E19" s="8" t="n">
        <v>6538</v>
      </c>
    </row>
    <row r="20" customFormat="false" ht="15" hidden="false" customHeight="false" outlineLevel="0" collapsed="false">
      <c r="A20" s="8" t="s">
        <v>72</v>
      </c>
      <c r="B20" s="23" t="n">
        <v>0.12480715828448</v>
      </c>
      <c r="C20" s="23" t="n">
        <v>0.124791761320612</v>
      </c>
      <c r="D20" s="8" t="n">
        <v>6482</v>
      </c>
      <c r="E20" s="8" t="n">
        <v>6603</v>
      </c>
    </row>
    <row r="21" customFormat="false" ht="15" hidden="false" customHeight="false" outlineLevel="0" collapsed="false">
      <c r="A21" s="8" t="s">
        <v>73</v>
      </c>
      <c r="B21" s="23" t="n">
        <v>0.119945272119185</v>
      </c>
      <c r="C21" s="23" t="n">
        <v>0.117216117216117</v>
      </c>
      <c r="D21" s="8" t="n">
        <v>6578</v>
      </c>
      <c r="E21" s="8" t="n">
        <v>6552</v>
      </c>
    </row>
    <row r="22" customFormat="false" ht="15" hidden="false" customHeight="false" outlineLevel="0" collapsed="false">
      <c r="A22" s="8" t="s">
        <v>74</v>
      </c>
      <c r="B22" s="23" t="n">
        <v>0.11524334251607</v>
      </c>
      <c r="C22" s="23" t="n">
        <v>0.11768228776763</v>
      </c>
      <c r="D22" s="8" t="n">
        <v>6534</v>
      </c>
      <c r="E22" s="8" t="n">
        <v>6679</v>
      </c>
    </row>
    <row r="23" customFormat="false" ht="15" hidden="false" customHeight="false" outlineLevel="0" collapsed="false">
      <c r="A23" s="8" t="s">
        <v>75</v>
      </c>
      <c r="B23" s="23" t="n">
        <v>0.125944584382872</v>
      </c>
      <c r="C23" s="23" t="n">
        <v>0.115701219512195</v>
      </c>
      <c r="D23" s="8" t="n">
        <v>6749</v>
      </c>
      <c r="E23" s="8" t="n">
        <v>6560</v>
      </c>
    </row>
    <row r="24" customFormat="false" ht="15" hidden="false" customHeight="false" outlineLevel="0" collapsed="false">
      <c r="A24" s="8" t="s">
        <v>76</v>
      </c>
      <c r="B24" s="23" t="n">
        <v>0.119163129169194</v>
      </c>
      <c r="C24" s="23" t="n">
        <v>0.118008696956065</v>
      </c>
      <c r="D24" s="8" t="n">
        <v>6596</v>
      </c>
      <c r="E24" s="8" t="n">
        <v>6669</v>
      </c>
    </row>
    <row r="25" customFormat="false" ht="15" hidden="false" customHeight="false" outlineLevel="0" collapsed="false">
      <c r="A25" s="8" t="s">
        <v>77</v>
      </c>
      <c r="B25" s="23" t="n">
        <v>0.125670041691483</v>
      </c>
      <c r="C25" s="23" t="n">
        <v>0.12106135986733</v>
      </c>
      <c r="D25" s="8" t="n">
        <v>6716</v>
      </c>
      <c r="E25" s="8" t="n">
        <v>6633</v>
      </c>
    </row>
    <row r="26" customFormat="false" ht="15" hidden="false" customHeight="false" outlineLevel="0" collapsed="false">
      <c r="A26" s="8" t="s">
        <v>78</v>
      </c>
      <c r="B26" s="23" t="n">
        <v>0.118007458710709</v>
      </c>
      <c r="C26" s="23" t="n">
        <v>0.121706058136376</v>
      </c>
      <c r="D26" s="8" t="n">
        <v>3754</v>
      </c>
      <c r="E26" s="8" t="n">
        <v>3681</v>
      </c>
    </row>
    <row r="28" customFormat="false" ht="15" hidden="false" customHeight="false" outlineLevel="0" collapsed="false">
      <c r="A28" s="11" t="s">
        <v>79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5" t="s">
        <v>80</v>
      </c>
      <c r="B1" s="5"/>
    </row>
    <row r="4" customFormat="false" ht="15" hidden="false" customHeight="false" outlineLevel="0" collapsed="false">
      <c r="A4" s="12" t="s">
        <v>81</v>
      </c>
      <c r="B4" s="19" t="n">
        <v>294478</v>
      </c>
    </row>
    <row r="5" customFormat="false" ht="15" hidden="false" customHeight="false" outlineLevel="0" collapsed="false">
      <c r="A5" s="12" t="s">
        <v>82</v>
      </c>
      <c r="B5" s="19" t="n">
        <v>3893</v>
      </c>
    </row>
    <row r="6" customFormat="false" ht="15" hidden="false" customHeight="false" outlineLevel="0" collapsed="false">
      <c r="A6" s="12" t="s">
        <v>83</v>
      </c>
      <c r="B6" s="12" t="n">
        <f aca="false">B4-B5</f>
        <v>290585</v>
      </c>
    </row>
    <row r="7" customFormat="false" ht="15" hidden="false" customHeight="false" outlineLevel="0" collapsed="false">
      <c r="A7" s="12" t="s">
        <v>84</v>
      </c>
      <c r="B7" s="19" t="n">
        <v>1</v>
      </c>
    </row>
    <row r="8" customFormat="false" ht="15" hidden="false" customHeight="false" outlineLevel="0" collapsed="false">
      <c r="A8" s="12" t="s">
        <v>85</v>
      </c>
      <c r="B8" s="12" t="n">
        <f aca="false">B6-B7</f>
        <v>290584</v>
      </c>
    </row>
    <row r="9" customFormat="false" ht="15" hidden="false" customHeight="false" outlineLevel="0" collapsed="false">
      <c r="A9" s="12" t="s">
        <v>86</v>
      </c>
      <c r="B9" s="19" t="n">
        <v>0</v>
      </c>
    </row>
    <row r="10" customFormat="false" ht="15" hidden="false" customHeight="false" outlineLevel="0" collapsed="false">
      <c r="A10" s="12" t="s">
        <v>87</v>
      </c>
      <c r="B10" s="19" t="s">
        <v>56</v>
      </c>
    </row>
    <row r="11" customFormat="false" ht="15" hidden="false" customHeight="false" outlineLevel="0" collapsed="false">
      <c r="A11" s="12" t="s">
        <v>88</v>
      </c>
      <c r="B11" s="19" t="s">
        <v>78</v>
      </c>
    </row>
    <row r="12" customFormat="false" ht="15" hidden="false" customHeight="false" outlineLevel="0" collapsed="false">
      <c r="A12" s="12" t="s">
        <v>89</v>
      </c>
      <c r="B12" s="19" t="n">
        <v>22</v>
      </c>
    </row>
    <row r="14" customFormat="false" ht="26.85" hidden="false" customHeight="true" outlineLevel="0" collapsed="false">
      <c r="A14" s="24" t="s">
        <v>90</v>
      </c>
      <c r="B14" s="24"/>
    </row>
  </sheetData>
  <mergeCells count="2">
    <mergeCell ref="A1:B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2026-09-12T17:24:17Z</dcterms:created>
  <dc:creator>openpyxl</dc:creator>
  <dc:description/>
  <dc:language>en-US</dc:language>
  <cp:lastModifiedBy/>
  <dcterms:modified xsi:type="dcterms:W3CDTF">2026-09-12T17:24:19Z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